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 (Comprehensive)" sheetId="1" state="visible" r:id="rId1"/>
    <sheet xmlns:r="http://schemas.openxmlformats.org/officeDocument/2006/relationships" name="Defect Tracker (Template-5)" sheetId="2" state="visible" r:id="rId2"/>
    <sheet xmlns:r="http://schemas.openxmlformats.org/officeDocument/2006/relationships" name="Defect Metrics &amp;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b val="1"/>
      <color rgb="00833C0C"/>
      <sz val="10"/>
    </font>
    <font>
      <name val="Calibri"/>
      <b val="1"/>
      <color rgb="002F5597"/>
      <sz val="14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45" customWidth="1" min="4" max="4"/>
    <col width="16" customWidth="1" min="5" max="5"/>
    <col width="18" customWidth="1" min="6" max="6"/>
    <col width="18" customWidth="1" min="7" max="7"/>
    <col width="48" customWidth="1" min="8" max="8"/>
    <col width="18" customWidth="1" min="9" max="9"/>
    <col width="20" customWidth="1" min="10" max="10"/>
    <col width="46" customWidth="1" min="11" max="11"/>
  </cols>
  <sheetData>
    <row r="1" ht="28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65" customHeight="1">
      <c r="A2" s="2" t="n">
        <v>1</v>
      </c>
      <c r="B2" s="2" t="inlineStr">
        <is>
          <t>Udhaya Kiran</t>
        </is>
      </c>
      <c r="C2" s="2" t="inlineStr">
        <is>
          <t>12-Sep-26</t>
        </is>
      </c>
      <c r="D2" s="3" t="inlineStr">
        <is>
          <t>PyMuPDF failed to parse non-standard document formats and header metadata during initial bulk PDF ingestion.</t>
        </is>
      </c>
      <c r="E2" s="2" t="inlineStr">
        <is>
          <t>Sprint 1</t>
        </is>
      </c>
      <c r="F2" s="2" t="inlineStr">
        <is>
          <t>Udhaya Kiran</t>
        </is>
      </c>
      <c r="G2" s="2" t="inlineStr">
        <is>
          <t>Data Validation</t>
        </is>
      </c>
      <c r="H2" s="3" t="inlineStr">
        <is>
          <t>Implemented robust fallback text sanitization and encoding normalization in src/agents/document_agent.py to prevent page read aborts on malformed PDF streams.</t>
        </is>
      </c>
      <c r="I2" s="2" t="inlineStr">
        <is>
          <t>14-Sep-26</t>
        </is>
      </c>
      <c r="J2" s="4" t="inlineStr">
        <is>
          <t>Closed</t>
        </is>
      </c>
      <c r="K2" s="3" t="inlineStr">
        <is>
          <t>US/101 - Discovered during initial pipeline testing on mixed PDF report batches. Fixed before vector indexing.</t>
        </is>
      </c>
    </row>
    <row r="3" ht="65" customHeight="1">
      <c r="A3" s="2" t="n">
        <v>2</v>
      </c>
      <c r="B3" s="2" t="inlineStr">
        <is>
          <t>Udhaya Kiran</t>
        </is>
      </c>
      <c r="C3" s="2" t="inlineStr">
        <is>
          <t>22-Sep-26</t>
        </is>
      </c>
      <c r="D3" s="3" t="inlineStr">
        <is>
          <t>Filename parsing corrupted document metadata. Files with non-standard naming conventions (e.g., AMAZON_ANNUAL_25.pdf or Integrated-annual-report-2025-26.pdf) resulted in empty or incorrect company and fiscal year tags.</t>
        </is>
      </c>
      <c r="E3" s="2" t="inlineStr">
        <is>
          <t>Sprint 2</t>
        </is>
      </c>
      <c r="F3" s="2" t="inlineStr">
        <is>
          <t>Udhaya Kiran</t>
        </is>
      </c>
      <c r="G3" s="2" t="inlineStr">
        <is>
          <t>Logical</t>
        </is>
      </c>
      <c r="H3" s="3" t="inlineStr">
        <is>
          <t>Refactored _FILENAME_RE regex pattern in document_agent.py to support 2-digit years and hyphenated fiscal ranges, and added a secondary regex fallback parser to safely extract company name and 4-digit year.</t>
        </is>
      </c>
      <c r="I3" s="2" t="inlineStr">
        <is>
          <t>23-Sep-26</t>
        </is>
      </c>
      <c r="J3" s="4" t="inlineStr">
        <is>
          <t>Closed</t>
        </is>
      </c>
      <c r="K3" s="3" t="inlineStr">
        <is>
          <t>US/105 - Found while indexing multiple reports; some documents showed wrong company/year details in their metadata.</t>
        </is>
      </c>
    </row>
    <row r="4" ht="65" customHeight="1">
      <c r="A4" s="2" t="n">
        <v>3</v>
      </c>
      <c r="B4" s="2" t="inlineStr">
        <is>
          <t>Udhaya Kiran</t>
        </is>
      </c>
      <c r="C4" s="2" t="inlineStr">
        <is>
          <t>24-Sep-26</t>
        </is>
      </c>
      <c r="D4" s="3" t="inlineStr">
        <is>
          <t>Extraction confused revenue values with EPS values. Revenue extraction regex incorrectly matched per-share figures located adjacent to total revenue tables.</t>
        </is>
      </c>
      <c r="E4" s="2" t="inlineStr">
        <is>
          <t>Sprint 2</t>
        </is>
      </c>
      <c r="F4" s="2" t="inlineStr">
        <is>
          <t>Udhaya Kiran</t>
        </is>
      </c>
      <c r="G4" s="2" t="inlineStr">
        <is>
          <t>Logical</t>
        </is>
      </c>
      <c r="H4" s="3" t="inlineStr">
        <is>
          <t>Added strict metric classification constraints and boundary keywords in extraction_agent.py to isolate table headers and verify currency magnitudes before assigning metric values.</t>
        </is>
      </c>
      <c r="I4" s="2" t="inlineStr">
        <is>
          <t>25-Sep-26</t>
        </is>
      </c>
      <c r="J4" s="4" t="inlineStr">
        <is>
          <t>Closed</t>
        </is>
      </c>
      <c r="K4" s="3" t="inlineStr">
        <is>
          <t>US/106 - Noticed while comparing extracted values with the annual report; the wrong figure was being picked for key financials.</t>
        </is>
      </c>
    </row>
    <row r="5" ht="65" customHeight="1">
      <c r="A5" s="2" t="n">
        <v>4</v>
      </c>
      <c r="B5" s="2" t="inlineStr">
        <is>
          <t>Udhaya Kiran</t>
        </is>
      </c>
      <c r="C5" s="2" t="inlineStr">
        <is>
          <t>28-Sep-26</t>
        </is>
      </c>
      <c r="D5" s="3" t="inlineStr">
        <is>
          <t>ChromaDB embedding batch failure during vector indexing due to chunk text exceeding max sequence length of all-MiniLM-L6-v2.</t>
        </is>
      </c>
      <c r="E5" s="2" t="inlineStr">
        <is>
          <t>Sprint 2</t>
        </is>
      </c>
      <c r="F5" s="2" t="inlineStr">
        <is>
          <t>Udhaya Kiran</t>
        </is>
      </c>
      <c r="G5" s="2" t="inlineStr">
        <is>
          <t>Functional</t>
        </is>
      </c>
      <c r="H5" s="3" t="inlineStr">
        <is>
          <t>Adjusted CHUNK_SIZE to 800 characters and CHUNK_OVERLAP to 150 in document_agent.py, adding token truncation guards before calling sentence_transformers.encode().</t>
        </is>
      </c>
      <c r="I5" s="2" t="inlineStr">
        <is>
          <t>29-Sep-26</t>
        </is>
      </c>
      <c r="J5" s="4" t="inlineStr">
        <is>
          <t>Closed</t>
        </is>
      </c>
      <c r="K5" s="3" t="inlineStr">
        <is>
          <t>US/103 - Discovered during embedding generation on dense financial footnote sections in 10-K filings.</t>
        </is>
      </c>
    </row>
    <row r="6" ht="65" customHeight="1">
      <c r="A6" s="2" t="n">
        <v>5</v>
      </c>
      <c r="B6" s="2" t="inlineStr">
        <is>
          <t>Udhaya Kiran</t>
        </is>
      </c>
      <c r="C6" s="2" t="inlineStr">
        <is>
          <t>06-Oct-26</t>
        </is>
      </c>
      <c r="D6" s="3" t="inlineStr">
        <is>
          <t>Fiscal year collisions between reports. Multi-year trend analysis cross-pollinated metrics across consecutive fiscal cycles.</t>
        </is>
      </c>
      <c r="E6" s="2" t="inlineStr">
        <is>
          <t>Sprint 3</t>
        </is>
      </c>
      <c r="F6" s="2" t="inlineStr">
        <is>
          <t>Udhaya Kiran</t>
        </is>
      </c>
      <c r="G6" s="2" t="inlineStr">
        <is>
          <t>Logical</t>
        </is>
      </c>
      <c r="H6" s="3" t="inlineStr">
        <is>
          <t>Enforced composite compound primary keys (company, year, metric_name) in ChromaDB metadata filtering and output JSON storage schema in extraction_agent.py.</t>
        </is>
      </c>
      <c r="I6" s="2" t="inlineStr">
        <is>
          <t>07-Oct-26</t>
        </is>
      </c>
      <c r="J6" s="4" t="inlineStr">
        <is>
          <t>Closed</t>
        </is>
      </c>
      <c r="K6" s="3" t="inlineStr">
        <is>
          <t>US/106 - Reports from different years were getting mixed up, which affected trends and comparisons.</t>
        </is>
      </c>
    </row>
    <row r="7" ht="65" customHeight="1">
      <c r="A7" s="2" t="n">
        <v>6</v>
      </c>
      <c r="B7" s="2" t="inlineStr">
        <is>
          <t>Udhaya Kiran</t>
        </is>
      </c>
      <c r="C7" s="2" t="inlineStr">
        <is>
          <t>07-Oct-26</t>
        </is>
      </c>
      <c r="D7" s="3" t="inlineStr">
        <is>
          <t>Unit scaling errors in extracted financial values. Discrepancies between reports reporting in Millions, Billions, and Crores caused erratic ratio calculations.</t>
        </is>
      </c>
      <c r="E7" s="2" t="inlineStr">
        <is>
          <t>Sprint 3</t>
        </is>
      </c>
      <c r="F7" s="2" t="inlineStr">
        <is>
          <t>Udhaya Kiran</t>
        </is>
      </c>
      <c r="G7" s="2" t="inlineStr">
        <is>
          <t>Logical</t>
        </is>
      </c>
      <c r="H7" s="3" t="inlineStr">
        <is>
          <t>Integrated unit normalization parser in extraction_agent.py that detects magnitude qualifiers ('in millions', 'in billions', '$M', '$B') and converts all figures to standardized base units.</t>
        </is>
      </c>
      <c r="I7" s="2" t="inlineStr">
        <is>
          <t>08-Oct-26</t>
        </is>
      </c>
      <c r="J7" s="4" t="inlineStr">
        <is>
          <t>Closed</t>
        </is>
      </c>
      <c r="K7" s="3" t="inlineStr">
        <is>
          <t>US/106 - Values from different reports were on different scales (units), so comparisons looked wrong until rechecked.</t>
        </is>
      </c>
    </row>
    <row r="8" ht="65" customHeight="1">
      <c r="A8" s="2" t="n">
        <v>7</v>
      </c>
      <c r="B8" s="2" t="inlineStr">
        <is>
          <t>Udhaya Kiran</t>
        </is>
      </c>
      <c r="C8" s="2" t="inlineStr">
        <is>
          <t>09-Oct-26</t>
        </is>
      </c>
      <c r="D8" s="3" t="inlineStr">
        <is>
          <t>ZeroDivisionError in financial ratio calculation (Current Ratio and Debt-to-Equity) when balance sheets had missing or zero reported short-term liabilities.</t>
        </is>
      </c>
      <c r="E8" s="2" t="inlineStr">
        <is>
          <t>Sprint 3</t>
        </is>
      </c>
      <c r="F8" s="2" t="inlineStr">
        <is>
          <t>Udhaya Kiran</t>
        </is>
      </c>
      <c r="G8" s="2" t="inlineStr">
        <is>
          <t>Functional</t>
        </is>
      </c>
      <c r="H8" s="3" t="inlineStr">
        <is>
          <t>Added defensive validation and null-safe ratio calculation handlers in extraction_agent.py returning None with explanatory audit remarks when denominator is zero or absent.</t>
        </is>
      </c>
      <c r="I8" s="2" t="inlineStr">
        <is>
          <t>10-Oct-26</t>
        </is>
      </c>
      <c r="J8" s="4" t="inlineStr">
        <is>
          <t>Closed</t>
        </is>
      </c>
      <c r="K8" s="3" t="inlineStr">
        <is>
          <t>US/107 - Identified when running ratio synthesis across companies with atypical capital structures.</t>
        </is>
      </c>
    </row>
    <row r="9" ht="65" customHeight="1">
      <c r="A9" s="2" t="n">
        <v>8</v>
      </c>
      <c r="B9" s="2" t="inlineStr">
        <is>
          <t>Udhaya Kiran</t>
        </is>
      </c>
      <c r="C9" s="2" t="inlineStr">
        <is>
          <t>11-Oct-26</t>
        </is>
      </c>
      <c r="D9" s="3" t="inlineStr">
        <is>
          <t>RedFlagAgent generated duplicate risk disclosures and lacked exact page citation provenance in final summary output.</t>
        </is>
      </c>
      <c r="E9" s="2" t="inlineStr">
        <is>
          <t>Sprint 3</t>
        </is>
      </c>
      <c r="F9" s="2" t="inlineStr">
        <is>
          <t>Udhaya Kiran</t>
        </is>
      </c>
      <c r="G9" s="2" t="inlineStr">
        <is>
          <t>Data Validation</t>
        </is>
      </c>
      <c r="H9" s="3" t="inlineStr">
        <is>
          <t>Implemented semantic deduplication using cosine similarity threshold (&gt;0.85) and enforced mandatory provenance: {document, page_number, evidence} schema in red_flag_agent.py.</t>
        </is>
      </c>
      <c r="I9" s="2" t="inlineStr">
        <is>
          <t>12-Oct-26</t>
        </is>
      </c>
      <c r="J9" s="4" t="inlineStr">
        <is>
          <t>Closed</t>
        </is>
      </c>
      <c r="K9" s="3" t="inlineStr">
        <is>
          <t>US/108 - Verified through automated unit tests in test_e2e_suite.py test_01_citation_accuracy.</t>
        </is>
      </c>
    </row>
    <row r="10" ht="65" customHeight="1">
      <c r="A10" s="2" t="n">
        <v>9</v>
      </c>
      <c r="B10" s="2" t="inlineStr">
        <is>
          <t>Udhaya Kiran</t>
        </is>
      </c>
      <c r="C10" s="2" t="inlineStr">
        <is>
          <t>15-Oct-26</t>
        </is>
      </c>
      <c r="D10" s="3" t="inlineStr">
        <is>
          <t>Research Copilot sometimes returns an insufficient-information message even when another part of the application (Visual Analytics) can retrieve the requested financial metric. Suspected areas: retrieval logic, metadata filtering, relevance thresholds, financial metric interpretation, differences between the Research Copilot and Visual Analytics data paths.</t>
        </is>
      </c>
      <c r="E10" s="2" t="inlineStr">
        <is>
          <t>Sprint 4</t>
        </is>
      </c>
      <c r="F10" s="2" t="inlineStr">
        <is>
          <t>Udhaya Kiran</t>
        </is>
      </c>
      <c r="G10" s="2" t="inlineStr">
        <is>
          <t>Logical</t>
        </is>
      </c>
      <c r="H10" s="3" t="inlineStr">
        <is>
          <t>Investigated discrepancy: Visual Analytics reads pre-extracted JSON caches directly, while Research Copilot relies on semantic top-k retrieval in ChromaDB. Lowered cosine distance cutoff from 0.70 to 0.55 and added hybrid metadata-routed lookup in research_agent.py. Fix under active regression testing.</t>
        </is>
      </c>
      <c r="I10" s="2" t="inlineStr">
        <is>
          <t>18-Oct-26</t>
        </is>
      </c>
      <c r="J10" s="5" t="inlineStr">
        <is>
          <t>Open</t>
        </is>
      </c>
      <c r="K10" s="3" t="inlineStr">
        <is>
          <t>US/110 - Noticed while preparing the project demo for the mock assessment (15 Oct); the same metric could be retrieved in Visual Analytics, so the two data paths seem to behave differently. Needs more testing before it can be closed.</t>
        </is>
      </c>
    </row>
    <row r="11" ht="65" customHeight="1">
      <c r="A11" s="2" t="n">
        <v>10</v>
      </c>
      <c r="B11" s="2" t="inlineStr">
        <is>
          <t>Udhaya Kiran</t>
        </is>
      </c>
      <c r="C11" s="2" t="inlineStr">
        <is>
          <t>17-Oct-26</t>
        </is>
      </c>
      <c r="D11" s="3" t="inlineStr">
        <is>
          <t>Automated Report Generator (ReportLab PDF) failed to render table borders and caused text overlap when metric descriptions exceeded 120 characters.</t>
        </is>
      </c>
      <c r="E11" s="2" t="inlineStr">
        <is>
          <t>Sprint 4</t>
        </is>
      </c>
      <c r="F11" s="2" t="inlineStr">
        <is>
          <t>Udhaya Kiran</t>
        </is>
      </c>
      <c r="G11" s="2" t="inlineStr">
        <is>
          <t>UI</t>
        </is>
      </c>
      <c r="H11" s="3" t="inlineStr">
        <is>
          <t>Wrapped table cell contents in dynamic Paragraph elements with defined column widths and configured auto-wrapping Flowables in report_agent.py.</t>
        </is>
      </c>
      <c r="I11" s="2" t="inlineStr">
        <is>
          <t>19-Oct-26</t>
        </is>
      </c>
      <c r="J11" s="4" t="inlineStr">
        <is>
          <t>Closed</t>
        </is>
      </c>
      <c r="K11" s="3" t="inlineStr">
        <is>
          <t>US/112 - Resolved layout overflow in exported executive financial summary PDFs.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45" customWidth="1" min="4" max="4"/>
    <col width="16" customWidth="1" min="5" max="5"/>
    <col width="18" customWidth="1" min="6" max="6"/>
    <col width="18" customWidth="1" min="7" max="7"/>
    <col width="48" customWidth="1" min="8" max="8"/>
    <col width="18" customWidth="1" min="9" max="9"/>
    <col width="20" customWidth="1" min="10" max="10"/>
    <col width="46" customWidth="1" min="11" max="11"/>
  </cols>
  <sheetData>
    <row r="1" ht="28" customHeight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65" customHeight="1">
      <c r="A2" s="2" t="n">
        <v>1</v>
      </c>
      <c r="B2" s="2" t="inlineStr">
        <is>
          <t>Udhaya Kiran</t>
        </is>
      </c>
      <c r="C2" s="2" t="inlineStr">
        <is>
          <t>22-Sep-26</t>
        </is>
      </c>
      <c r="D2" s="3" t="inlineStr">
        <is>
          <t>Filename parsing corrupted document metadata.</t>
        </is>
      </c>
      <c r="E2" s="2" t="inlineStr">
        <is>
          <t>Sprint 2</t>
        </is>
      </c>
      <c r="F2" s="2" t="inlineStr">
        <is>
          <t>Udhaya Kiran</t>
        </is>
      </c>
      <c r="G2" s="2" t="inlineStr">
        <is>
          <t>Logical</t>
        </is>
      </c>
      <c r="H2" s="3" t="inlineStr">
        <is>
          <t>Refactored regex pattern in document_agent.py to handle non-standard filename conventions and 2-digit years.</t>
        </is>
      </c>
      <c r="I2" s="2" t="inlineStr">
        <is>
          <t>23-Sep-26</t>
        </is>
      </c>
      <c r="J2" s="4" t="inlineStr">
        <is>
          <t>Closed</t>
        </is>
      </c>
      <c r="K2" s="3" t="inlineStr">
        <is>
          <t>US/105 - Found while indexing multiple reports; some documents showed wrong company/year details in their metadata.</t>
        </is>
      </c>
    </row>
    <row r="3" ht="65" customHeight="1">
      <c r="A3" s="2" t="n">
        <v>2</v>
      </c>
      <c r="B3" s="2" t="inlineStr">
        <is>
          <t>Udhaya Kiran</t>
        </is>
      </c>
      <c r="C3" s="2" t="inlineStr">
        <is>
          <t>24-Sep-26</t>
        </is>
      </c>
      <c r="D3" s="3" t="inlineStr">
        <is>
          <t>Extraction confused revenue values with EPS values.</t>
        </is>
      </c>
      <c r="E3" s="2" t="inlineStr">
        <is>
          <t>Sprint 2</t>
        </is>
      </c>
      <c r="F3" s="2" t="inlineStr">
        <is>
          <t>Udhaya Kiran</t>
        </is>
      </c>
      <c r="G3" s="2" t="inlineStr">
        <is>
          <t>Logical</t>
        </is>
      </c>
      <c r="H3" s="3" t="inlineStr">
        <is>
          <t>Updated regex boundaries and added keyword context filtering to prevent EPS figures matching total revenue.</t>
        </is>
      </c>
      <c r="I3" s="2" t="inlineStr">
        <is>
          <t>25-Sep-26</t>
        </is>
      </c>
      <c r="J3" s="4" t="inlineStr">
        <is>
          <t>Closed</t>
        </is>
      </c>
      <c r="K3" s="3" t="inlineStr">
        <is>
          <t>US/106 - Noticed while comparing extracted values with the annual report; the wrong figure was being picked for key financials.</t>
        </is>
      </c>
    </row>
    <row r="4" ht="65" customHeight="1">
      <c r="A4" s="2" t="n">
        <v>3</v>
      </c>
      <c r="B4" s="2" t="inlineStr">
        <is>
          <t>Udhaya Kiran</t>
        </is>
      </c>
      <c r="C4" s="2" t="inlineStr">
        <is>
          <t>6-Oct-26</t>
        </is>
      </c>
      <c r="D4" s="3" t="inlineStr">
        <is>
          <t>Fiscal year collisions between reports.</t>
        </is>
      </c>
      <c r="E4" s="2" t="inlineStr">
        <is>
          <t>Sprint 3</t>
        </is>
      </c>
      <c r="F4" s="2" t="inlineStr">
        <is>
          <t>Udhaya Kiran</t>
        </is>
      </c>
      <c r="G4" s="2" t="inlineStr">
        <is>
          <t>Logical</t>
        </is>
      </c>
      <c r="H4" s="3" t="inlineStr">
        <is>
          <t>Enforced compound primary keys (company, year, metric) in metadata and storage structure.</t>
        </is>
      </c>
      <c r="I4" s="2" t="inlineStr">
        <is>
          <t>7-Oct-26</t>
        </is>
      </c>
      <c r="J4" s="4" t="inlineStr">
        <is>
          <t>Closed</t>
        </is>
      </c>
      <c r="K4" s="3" t="inlineStr">
        <is>
          <t>US/106 - Reports from different years were getting mixed up, which affected trends and comparisons.</t>
        </is>
      </c>
    </row>
    <row r="5" ht="65" customHeight="1">
      <c r="A5" s="2" t="n">
        <v>4</v>
      </c>
      <c r="B5" s="2" t="inlineStr">
        <is>
          <t>Udhaya Kiran</t>
        </is>
      </c>
      <c r="C5" s="2" t="inlineStr">
        <is>
          <t>7-Oct-26</t>
        </is>
      </c>
      <c r="D5" s="3" t="inlineStr">
        <is>
          <t>Unit scaling errors in extracted financial values.</t>
        </is>
      </c>
      <c r="E5" s="2" t="inlineStr">
        <is>
          <t>Sprint 3</t>
        </is>
      </c>
      <c r="F5" s="2" t="inlineStr">
        <is>
          <t>Udhaya Kiran</t>
        </is>
      </c>
      <c r="G5" s="2" t="inlineStr">
        <is>
          <t>Logical</t>
        </is>
      </c>
      <c r="H5" s="3" t="inlineStr">
        <is>
          <t>Added unit normalization parser to detect scale qualifiers (Millions, Billions, Crores) and normalize to base figures.</t>
        </is>
      </c>
      <c r="I5" s="2" t="inlineStr">
        <is>
          <t>8-Oct-26</t>
        </is>
      </c>
      <c r="J5" s="4" t="inlineStr">
        <is>
          <t>Closed</t>
        </is>
      </c>
      <c r="K5" s="3" t="inlineStr">
        <is>
          <t>US/106 - Values from different reports were on different scales (units), so comparisons looked wrong until rechecked.</t>
        </is>
      </c>
    </row>
    <row r="6" ht="65" customHeight="1">
      <c r="A6" s="2" t="n">
        <v>5</v>
      </c>
      <c r="B6" s="2" t="inlineStr">
        <is>
          <t>Udhaya Kiran</t>
        </is>
      </c>
      <c r="C6" s="2" t="inlineStr">
        <is>
          <t>15-Oct-26</t>
        </is>
      </c>
      <c r="D6" s="3" t="inlineStr">
        <is>
          <t>Research Copilot sometimes returns an insufficient-information message even when another part of the application (Visual Analytics) can retrieve the requested financial metric. Suspected areas: retrieval logic, metadata filtering, relevance thresholds, financial metric interpretation, differences between the Research Copilot and Visual Analytics data paths.</t>
        </is>
      </c>
      <c r="E6" s="2" t="inlineStr">
        <is>
          <t>Sprint 4</t>
        </is>
      </c>
      <c r="F6" s="2" t="inlineStr">
        <is>
          <t>Udhaya Kiran</t>
        </is>
      </c>
      <c r="G6" s="2" t="inlineStr">
        <is>
          <t>Logical</t>
        </is>
      </c>
      <c r="H6" s="3" t="inlineStr">
        <is>
          <t>Tuned ChromaDB similarity thresholds and implemented hybrid query fallback routing between structured cache and vector search.</t>
        </is>
      </c>
      <c r="I6" s="2" t="inlineStr">
        <is>
          <t>18-Oct-26</t>
        </is>
      </c>
      <c r="J6" s="5" t="inlineStr">
        <is>
          <t>Open</t>
        </is>
      </c>
      <c r="K6" s="3" t="inlineStr">
        <is>
          <t>US/110 - Noticed while preparing the project demo for the mock assessment (15 Oct); the same metric could be retrieved in Visual Analytics, so the two data paths seem to behave differently. Needs more testing before it can be closed.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5" customWidth="1" min="4" max="4"/>
    <col width="25" customWidth="1" min="5" max="5"/>
    <col width="15" customWidth="1" min="6" max="6"/>
  </cols>
  <sheetData>
    <row r="2" ht="25" customHeight="1">
      <c r="B2" s="6" t="inlineStr">
        <is>
          <t>FINORA AI - DEFECT TRACKER METRICS</t>
        </is>
      </c>
    </row>
    <row r="4">
      <c r="B4" s="7" t="inlineStr">
        <is>
          <t>Defect Status</t>
        </is>
      </c>
      <c r="C4" s="8" t="inlineStr">
        <is>
          <t>Count</t>
        </is>
      </c>
      <c r="E4" s="7" t="inlineStr">
        <is>
          <t>Detected Sprint</t>
        </is>
      </c>
      <c r="F4" s="8" t="inlineStr">
        <is>
          <t>Count</t>
        </is>
      </c>
    </row>
    <row r="5">
      <c r="B5" s="9" t="inlineStr">
        <is>
          <t>Closed Defect Count</t>
        </is>
      </c>
      <c r="C5" s="2">
        <f>COUNTIF('Defect Tracker (Comprehensive)'!J2:J11, "Closed")</f>
        <v/>
      </c>
      <c r="E5" s="9" t="inlineStr">
        <is>
          <t>Sprint 1 (Architecture &amp; Ingestion)</t>
        </is>
      </c>
      <c r="F5" s="2">
        <f>COUNTIF('Defect Tracker (Comprehensive)'!E2:E11, "Sprint 1")</f>
        <v/>
      </c>
    </row>
    <row r="6">
      <c r="B6" s="9" t="inlineStr">
        <is>
          <t>Open Defect Count</t>
        </is>
      </c>
      <c r="C6" s="2">
        <f>COUNTIF('Defect Tracker (Comprehensive)'!J2:J11, "Open")</f>
        <v/>
      </c>
      <c r="E6" s="9" t="inlineStr">
        <is>
          <t>Sprint 2 (Extraction &amp; Vector Index)</t>
        </is>
      </c>
      <c r="F6" s="2">
        <f>COUNTIF('Defect Tracker (Comprehensive)'!E2:E11, "Sprint 2")</f>
        <v/>
      </c>
    </row>
    <row r="7">
      <c r="B7" s="10" t="inlineStr">
        <is>
          <t>Total Defects Logged</t>
        </is>
      </c>
      <c r="C7" s="11">
        <f>COUNTA('Defect Tracker (Comprehensive)'!A2:A11)</f>
        <v/>
      </c>
      <c r="E7" s="9" t="inlineStr">
        <is>
          <t>Sprint 3 (Risk &amp; Financial Ratios)</t>
        </is>
      </c>
      <c r="F7" s="2">
        <f>COUNTIF('Defect Tracker (Comprehensive)'!E2:E11, "Sprint 3")</f>
        <v/>
      </c>
    </row>
    <row r="8">
      <c r="E8" s="9" t="inlineStr">
        <is>
          <t>Sprint 4 (Research Copilot &amp; Reporting)</t>
        </is>
      </c>
      <c r="F8" s="2">
        <f>COUNTIF('Defect Tracker (Comprehensive)'!E2:E11, "Sprint 4")</f>
        <v/>
      </c>
    </row>
    <row r="10">
      <c r="B10" s="7" t="inlineStr">
        <is>
          <t>Project Details</t>
        </is>
      </c>
      <c r="C10" s="8" t="inlineStr">
        <is>
          <t>Value</t>
        </is>
      </c>
    </row>
    <row r="11">
      <c r="B11" s="9" t="inlineStr">
        <is>
          <t>Project Name</t>
        </is>
      </c>
      <c r="C11" s="9" t="inlineStr">
        <is>
          <t>Finora AI — Multi-Agent Financial Intelligence</t>
        </is>
      </c>
    </row>
    <row r="12">
      <c r="B12" s="9" t="inlineStr">
        <is>
          <t>Intern / Engineer Name</t>
        </is>
      </c>
      <c r="C12" s="10" t="inlineStr">
        <is>
          <t>Udhaya Kiran</t>
        </is>
      </c>
    </row>
    <row r="13">
      <c r="B13" s="9" t="inlineStr">
        <is>
          <t>Role</t>
        </is>
      </c>
      <c r="C13" s="9" t="inlineStr">
        <is>
          <t>AI Engineering &amp; Multi-Agent Development Intern</t>
        </is>
      </c>
    </row>
    <row r="14">
      <c r="B14" s="9" t="inlineStr">
        <is>
          <t>Organization / Platform</t>
        </is>
      </c>
      <c r="C14" s="9" t="inlineStr">
        <is>
          <t>Infosys Internship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2026-10-21T06:23:00Z</dcterms:created>
  <dcterms:modified xmlns:dcterms="http://purl.org/dc/terms/" xmlns:xsi="http://www.w3.org/2001/XMLSchema-instance" xsi:type="dcterms:W3CDTF">2026-10-21T06:23:00Z</dcterms:modified>
</cp:coreProperties>
</file>